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7c82b57ed143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Выгрузка" sheetId="1" r:id="Rd5d2000455a445dc"/>
    <x:sheet xmlns:r="http://schemas.openxmlformats.org/officeDocument/2006/relationships" name="Правила" sheetId="2" r:id="R3d52ac19abbc43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&quot;р.&quot;;[Red]-#,##0.00&quot;р.&quot;;0.00&quot;р.&quot;"/>
    <x:numFmt numFmtId="201" formatCode="$#,##0.00;[Red]-$#,##0.00;$0.00"/>
  </x:numFmts>
  <x:fonts count="3">
    <x:font>
      <x:sz val="11"/>
      <x:name val="Carlito"/>
    </x:font>
    <x:font>
      <x:b/>
      <x:sz val="10"/>
      <x:color rgb="FF1F2933"/>
      <x:name val="Calibri"/>
    </x:font>
    <x:font>
      <x:sz val="10"/>
      <x:color rgb="FF1F2933"/>
      <x:name val="Calibri"/>
    </x:font>
  </x:fonts>
  <x:fills count="10">
    <x:fill>
      <x:patternFill patternType="none"/>
    </x:fill>
    <x:fill>
      <x:patternFill patternType="gray125"/>
    </x:fill>
    <x:fill>
      <x:patternFill patternType="solid">
        <x:fgColor rgb="FFD9D7D2"/>
      </x:patternFill>
    </x:fill>
    <x:fill>
      <x:patternFill patternType="solid">
        <x:fgColor rgb="FFF3F1ED"/>
      </x:patternFill>
    </x:fill>
    <x:fill>
      <x:patternFill patternType="solid">
        <x:fgColor rgb="FFFAFAF9"/>
      </x:patternFill>
    </x:fill>
    <x:fill>
      <x:patternFill patternType="solid">
        <x:fgColor rgb="FFEEF6FF"/>
      </x:patternFill>
    </x:fill>
    <x:fill>
      <x:patternFill patternType="solid">
        <x:fgColor rgb="FFEEF8F0"/>
      </x:patternFill>
    </x:fill>
    <x:fill>
      <x:patternFill patternType="solid">
        <x:fgColor rgb="FFFFF5DF"/>
      </x:patternFill>
    </x:fill>
    <x:fill>
      <x:patternFill patternType="solid">
        <x:fgColor rgb="FFF7F4EF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D6D3CD"/>
      </x:left>
      <x:right style="thin">
        <x:color rgb="FFD6D3CD"/>
      </x:right>
      <x:top style="thin">
        <x:color rgb="FFD6D3CD"/>
      </x:top>
      <x:bottom style="thin">
        <x:color rgb="FFD6D3CD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vertical="center" wrapText="1"/>
    </x:xf>
    <x:xf numFmtId="0" fontId="2" fillId="7" borderId="1" xfId="0" applyNumberFormat="1" applyFont="1" applyFill="1" applyBorder="1" applyAlignment="1">
      <x:alignment vertical="center" wrapText="1"/>
    </x:xf>
    <x:xf numFmtId="0" fontId="2" fillId="8" borderId="1" xfId="0" applyNumberFormat="1" applyFont="1" applyFill="1" applyBorder="1" applyAlignment="1">
      <x:alignment vertical="center" wrapText="1"/>
    </x:xf>
    <x:xf numFmtId="0" fontId="2" fillId="9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200" fontId="2" fillId="5" borderId="1" xfId="0" applyNumberFormat="1" applyFont="1" applyFill="1" applyBorder="1" applyAlignment="1">
      <x:alignment vertical="center" wrapText="1"/>
    </x:xf>
    <x:xf numFmtId="200" fontId="2" fillId="5" borderId="1" xfId="0" applyNumberFormat="1" applyFont="1" applyFill="1" applyBorder="1" applyAlignment="1">
      <x:alignment horizontal="right" vertical="center" wrapText="1"/>
    </x:xf>
    <x:xf numFmtId="200" fontId="2" fillId="6" borderId="1" xfId="0" applyNumberFormat="1" applyFont="1" applyFill="1" applyBorder="1" applyAlignment="1">
      <x:alignment vertical="center" wrapText="1"/>
    </x:xf>
    <x:xf numFmtId="200" fontId="2" fillId="6" borderId="1" xfId="0" applyNumberFormat="1" applyFont="1" applyFill="1" applyBorder="1" applyAlignment="1">
      <x:alignment horizontal="right" vertical="center" wrapText="1"/>
    </x:xf>
    <x:xf numFmtId="200" fontId="2" fillId="7" borderId="1" xfId="0" applyNumberFormat="1" applyFont="1" applyFill="1" applyBorder="1" applyAlignment="1">
      <x:alignment vertical="center" wrapText="1"/>
    </x:xf>
    <x:xf numFmtId="200" fontId="2" fillId="7" borderId="1" xfId="0" applyNumberFormat="1" applyFont="1" applyFill="1" applyBorder="1" applyAlignment="1">
      <x:alignment horizontal="right" vertical="center" wrapText="1"/>
    </x:xf>
    <x:xf numFmtId="200" fontId="2" fillId="9" borderId="1" xfId="0" applyNumberFormat="1" applyFont="1" applyFill="1" applyBorder="1" applyAlignment="1">
      <x:alignment vertical="center" wrapText="1"/>
    </x:xf>
    <x:xf numFmtId="200" fontId="2" fillId="9" borderId="1" xfId="0" applyNumberFormat="1" applyFont="1" applyFill="1" applyBorder="1" applyAlignment="1">
      <x:alignment horizontal="right" vertical="center" wrapText="1"/>
    </x:xf>
    <x:xf numFmtId="201" fontId="2" fillId="5" borderId="1" xfId="0" applyNumberFormat="1" applyFont="1" applyFill="1" applyBorder="1" applyAlignment="1">
      <x:alignment vertical="center" wrapText="1"/>
    </x:xf>
    <x:xf numFmtId="201" fontId="2" fillId="5" borderId="1" xfId="0" applyNumberFormat="1" applyFont="1" applyFill="1" applyBorder="1" applyAlignment="1">
      <x:alignment horizontal="right"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horizontal="right" vertical="center" wrapText="1"/>
    </x:xf>
    <x:xf numFmtId="0" fontId="2" fillId="7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 vertical="center"/>
    </x:xf>
    <x:xf numFmtId="0" fontId="2" fillId="2" borderId="1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8">
    <x:dxf>
      <x:font>
        <x:b/>
        <x:color rgb="FF0F5132"/>
      </x:font>
      <x:fill>
        <x:patternFill patternType="solid">
          <x:bgColor rgb="FFE2F0D9"/>
        </x:patternFill>
      </x:fill>
    </x:dxf>
    <x:dxf>
      <x:font>
        <x:b/>
        <x:color rgb="FF842029"/>
      </x:font>
      <x:fill>
        <x:patternFill patternType="solid">
          <x:bgColor rgb="FFFCE4D6"/>
        </x:patternFill>
      </x:fill>
    </x:dxf>
    <x:dxf>
      <x:font>
        <x:b/>
        <x:color rgb="FF0F5132"/>
      </x:font>
      <x:fill>
        <x:patternFill patternType="solid">
          <x:bgColor rgb="FFE2F0D9"/>
        </x:patternFill>
      </x:fill>
    </x:dxf>
    <x:dxf>
      <x:font>
        <x:b/>
        <x:color rgb="FF842029"/>
      </x:font>
      <x:fill>
        <x:patternFill patternType="solid">
          <x:bgColor rgb="FFFCE4D6"/>
        </x:patternFill>
      </x:fill>
    </x:dxf>
    <x:dxf>
      <x:font>
        <x:b/>
        <x:color rgb="FF0F5132"/>
      </x:font>
      <x:fill>
        <x:patternFill patternType="solid">
          <x:bgColor rgb="FFE2F0D9"/>
        </x:patternFill>
      </x:fill>
    </x:dxf>
    <x:dxf>
      <x:font>
        <x:b/>
        <x:color rgb="FF842029"/>
      </x:font>
      <x:fill>
        <x:patternFill patternType="solid">
          <x:bgColor rgb="FFFCE4D6"/>
        </x:patternFill>
      </x:fill>
    </x:dxf>
    <x:dxf>
      <x:font>
        <x:b/>
        <x:color rgb="FF0F5132"/>
      </x:font>
      <x:fill>
        <x:patternFill patternType="solid">
          <x:bgColor rgb="FFE2F0D9"/>
        </x:patternFill>
      </x:fill>
    </x:dxf>
    <x:dxf>
      <x:font>
        <x:b/>
        <x:color rgb="FF842029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4c440f01a0438c" /><Relationship Type="http://schemas.openxmlformats.org/officeDocument/2006/relationships/theme" Target="/xl/theme/theme1.xml" Id="Rc5b1773b954144fe" /><Relationship Type="http://schemas.openxmlformats.org/officeDocument/2006/relationships/sharedStrings" Target="/xl/sharedStrings.xml" Id="R74099d618a214ca3" /><Relationship Type="http://schemas.openxmlformats.org/officeDocument/2006/relationships/worksheet" Target="/xl/worksheets/sheet1.xml" Id="Rd5d2000455a445dc" /><Relationship Type="http://schemas.openxmlformats.org/officeDocument/2006/relationships/worksheet" Target="/xl/worksheets/sheet2.xml" Id="R3d52ac19abbc43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.889999389648438" hidden="0" customWidth="1"/>
    <x:col min="2" max="2" width="2" hidden="0" customWidth="1"/>
    <x:col min="3" max="3" width="12.779999732971191" hidden="0" customWidth="1"/>
    <x:col min="4" max="4" width="15" hidden="0" customWidth="1"/>
    <x:col min="5" max="5" width="15" hidden="0" customWidth="1"/>
    <x:col min="6" max="6" width="2" hidden="0" customWidth="1"/>
    <x:col min="7" max="7" width="17.780000686645508" hidden="0" customWidth="1"/>
    <x:col min="8" max="8" width="17.780000686645508" hidden="0" customWidth="1"/>
    <x:col min="9" max="9" width="2" hidden="0" customWidth="1"/>
    <x:col min="10" max="10" width="34.439998626708984" hidden="0" customWidth="1"/>
    <x:col min="11" max="11" width="13.329999923706055" hidden="0" customWidth="1"/>
  </x:cols>
  <x:sheetData>
    <x:row r="1">
      <x:c r="A1" s="6" t="str">
        <x:v>№ спецификации</x:v>
      </x:c>
      <x:c r="B1" s="6" t="str"/>
      <x:c r="C1" s="6" t="str">
        <x:v>Счет</x:v>
      </x:c>
      <x:c r="D1" s="6" t="str">
        <x:v>Сумма по счету</x:v>
      </x:c>
      <x:c r="E1" s="6" t="str">
        <x:v>Сумма оплаты</x:v>
      </x:c>
      <x:c r="F1" s="6" t="str"/>
      <x:c r="G1" s="6" t="str">
        <x:v>Возмещаемые расходы</x:v>
      </x:c>
      <x:c r="H1" s="6" t="str">
        <x:v>Невозмещаемые расходы</x:v>
      </x:c>
      <x:c r="I1" s="6" t="str"/>
      <x:c r="J1" s="6" t="str">
        <x:v>№ счф</x:v>
      </x:c>
      <x:c r="K1" s="6" t="str">
        <x:v>(+/-)</x:v>
      </x:c>
    </x:row>
    <x:row r="2" ht="32.25" customHeight="1">
      <x:c r="A2" s="18" t="str">
        <x:v>Спецификация 922</x:v>
      </x:c>
      <x:c r="B2" s="12" t="str"/>
      <x:c r="C2" s="32" t="str">
        <x:v>ВА-015413</x:v>
      </x:c>
      <x:c r="D2" s="20" t="n">
        <x:v>25046.75</x:v>
      </x:c>
      <x:c r="E2" s="22" t="n">
        <x:v>25046.75</x:v>
      </x:c>
      <x:c r="F2" s="35" t="str"/>
      <x:c r="G2" s="24" t="n">
        <x:v>755402.75</x:v>
      </x:c>
      <x:c r="H2" s="24" t="n">
        <x:v>66412.42</x:v>
      </x:c>
      <x:c r="I2" s="12" t="str"/>
      <x:c r="J2" s="16" t="str">
        <x:v>00БП-001542 от 10.01.2025
00БП-023423 от 19.12.2024
00БП-000196 от 22.01.2025
00БП-001183 от 22.01.2025
00БП-000762 от 23.01.2025
00БП-001169 от 22.01.2025</x:v>
      </x:c>
      <x:c r="K2" s="26" t="n">
        <x:f>SUM(E2:E4)-G2-H2</x:f>
        <x:v>-58025.69000000002</x:v>
      </x:c>
    </x:row>
    <x:row r="3" ht="32.25" customHeight="1">
      <x:c r="A3" s="11" t="str"/>
      <x:c r="B3" s="12" t="str"/>
      <x:c r="C3" s="32" t="str">
        <x:v>ВА-015414</x:v>
      </x:c>
      <x:c r="D3" s="28" t="n">
        <x:v>7000</x:v>
      </x:c>
      <x:c r="E3" s="22" t="n">
        <x:v>687742.73</x:v>
      </x:c>
      <x:c r="F3" s="35" t="str"/>
      <x:c r="G3" s="36" t="str"/>
      <x:c r="H3" s="36" t="str"/>
      <x:c r="I3" s="12" t="str"/>
      <x:c r="J3" s="16" t="str"/>
      <x:c r="K3" s="17" t="str"/>
    </x:row>
    <x:row r="4" ht="32.25" customHeight="1">
      <x:c r="A4" s="11" t="str"/>
      <x:c r="B4" s="12" t="str"/>
      <x:c r="C4" s="32" t="str">
        <x:v>ВА-015415</x:v>
      </x:c>
      <x:c r="D4" s="20" t="n">
        <x:v>51000</x:v>
      </x:c>
      <x:c r="E4" s="22" t="n">
        <x:v>51000</x:v>
      </x:c>
      <x:c r="F4" s="35" t="str"/>
      <x:c r="G4" s="36" t="str"/>
      <x:c r="H4" s="36" t="str"/>
      <x:c r="I4" s="12" t="str"/>
      <x:c r="J4" s="16" t="str"/>
      <x:c r="K4" s="17" t="str"/>
    </x:row>
    <x:row r="5">
      <x:c r="A5" s="31"/>
      <x:c r="B5" s="31"/>
      <x:c r="C5" s="33"/>
      <x:c r="D5" s="37"/>
      <x:c r="E5" s="37"/>
      <x:c r="F5" s="37"/>
      <x:c r="G5" s="37"/>
      <x:c r="H5" s="37"/>
      <x:c r="I5" s="31"/>
      <x:c r="J5" s="31"/>
      <x:c r="K5" s="31"/>
    </x:row>
    <x:row r="6" ht="32.25" customHeight="1">
      <x:c r="A6" s="18" t="str">
        <x:v>Спецификация 921</x:v>
      </x:c>
      <x:c r="B6" s="12" t="str"/>
      <x:c r="C6" s="32" t="str">
        <x:v>ВА-015695</x:v>
      </x:c>
      <x:c r="D6" s="20" t="n">
        <x:v>24733.76</x:v>
      </x:c>
      <x:c r="E6" s="22" t="n">
        <x:v>24733.760000000002</x:v>
      </x:c>
      <x:c r="F6" s="35" t="str"/>
      <x:c r="G6" s="24" t="n">
        <x:v>829165.9</x:v>
      </x:c>
      <x:c r="H6" s="24" t="n">
        <x:v>67055.99</x:v>
      </x:c>
      <x:c r="I6" s="12" t="str"/>
      <x:c r="J6" s="16" t="str">
        <x:v>00БП-000198 от 21.01.2025
00БП-001554 от 10.01.2025
00БП-023496 от 25.12.2024
00БП-001173 от 21.01.2025
00БП-001180 от 21.01.2025
00БП-000763 от 23.01.2025</x:v>
      </x:c>
      <x:c r="K6" s="26" t="n">
        <x:f>SUM(E6:E8)-G6-H6</x:f>
        <x:v>-62300.89000000003</x:v>
      </x:c>
    </x:row>
    <x:row r="7" ht="32.25" customHeight="1">
      <x:c r="A7" s="11" t="str"/>
      <x:c r="B7" s="12" t="str"/>
      <x:c r="C7" s="32" t="str">
        <x:v>ВА-015696</x:v>
      </x:c>
      <x:c r="D7" s="28" t="n">
        <x:v>7717</x:v>
      </x:c>
      <x:c r="E7" s="22" t="n">
        <x:v>758187.24</x:v>
      </x:c>
      <x:c r="F7" s="35" t="str"/>
      <x:c r="G7" s="36" t="str"/>
      <x:c r="H7" s="36" t="str"/>
      <x:c r="I7" s="12" t="str"/>
      <x:c r="J7" s="16" t="str"/>
      <x:c r="K7" s="17" t="str"/>
    </x:row>
    <x:row r="8" ht="32.25" customHeight="1">
      <x:c r="A8" s="11" t="str"/>
      <x:c r="B8" s="12" t="str"/>
      <x:c r="C8" s="32" t="str">
        <x:v>ВА-015697</x:v>
      </x:c>
      <x:c r="D8" s="20" t="n">
        <x:v>51000</x:v>
      </x:c>
      <x:c r="E8" s="22" t="n">
        <x:v>51000</x:v>
      </x:c>
      <x:c r="F8" s="35" t="str"/>
      <x:c r="G8" s="36" t="str"/>
      <x:c r="H8" s="36" t="str"/>
      <x:c r="I8" s="12" t="str"/>
      <x:c r="J8" s="16" t="str"/>
      <x:c r="K8" s="17" t="str"/>
    </x:row>
    <x:row r="9">
      <x:c r="A9" s="31"/>
      <x:c r="B9" s="31"/>
      <x:c r="C9" s="33"/>
      <x:c r="D9" s="37"/>
      <x:c r="E9" s="37"/>
      <x:c r="F9" s="37"/>
      <x:c r="G9" s="37"/>
      <x:c r="H9" s="37"/>
      <x:c r="I9" s="31"/>
      <x:c r="J9" s="31"/>
      <x:c r="K9" s="31"/>
    </x:row>
    <x:row r="10" ht="42" customHeight="1">
      <x:c r="A10" s="18" t="str">
        <x:v>Спецификация 938</x:v>
      </x:c>
      <x:c r="B10" s="12" t="str"/>
      <x:c r="C10" s="32" t="str">
        <x:v>ВА-000461</x:v>
      </x:c>
      <x:c r="D10" s="20" t="n">
        <x:v>28079.95</x:v>
      </x:c>
      <x:c r="E10" s="22" t="n">
        <x:v>28079.95</x:v>
      </x:c>
      <x:c r="F10" s="35" t="str"/>
      <x:c r="G10" s="24" t="n">
        <x:v>867024.52</x:v>
      </x:c>
      <x:c r="H10" s="24" t="n">
        <x:v>71406.56</x:v>
      </x:c>
      <x:c r="I10" s="12" t="str"/>
      <x:c r="J10" s="16" t="str">
        <x:v>00БП-000597 от 22.02.2025
00БП-003356 от 05.02.2025
00БП-001780 от 17.01.2025
00БП-002744 от 24.02.2025
00БП-002745 от 22.02.2025
00БП-002748 от 22.02.2025
00БП-002585 от 20.02.2025
00БП-003350 от 05.03.2025</x:v>
      </x:c>
      <x:c r="K10" s="26" t="n">
        <x:f>SUM(E10:E12)-G10-H10</x:f>
        <x:v>-115718.83000000002</x:v>
      </x:c>
    </x:row>
    <x:row r="11" ht="42" customHeight="1">
      <x:c r="A11" s="11" t="str"/>
      <x:c r="B11" s="12" t="str"/>
      <x:c r="C11" s="32" t="str">
        <x:v>ВА-000462</x:v>
      </x:c>
      <x:c r="D11" s="28" t="n">
        <x:v>8250</x:v>
      </x:c>
      <x:c r="E11" s="22" t="n">
        <x:v>743632.3</x:v>
      </x:c>
      <x:c r="F11" s="35" t="str"/>
      <x:c r="G11" s="36" t="str"/>
      <x:c r="H11" s="36" t="str"/>
      <x:c r="I11" s="12" t="str"/>
      <x:c r="J11" s="16" t="str"/>
      <x:c r="K11" s="17" t="str"/>
    </x:row>
    <x:row r="12" ht="42" customHeight="1">
      <x:c r="A12" s="11" t="str"/>
      <x:c r="B12" s="12" t="str"/>
      <x:c r="C12" s="32" t="str">
        <x:v>ВА-000463</x:v>
      </x:c>
      <x:c r="D12" s="20" t="n">
        <x:v>51000</x:v>
      </x:c>
      <x:c r="E12" s="22" t="n">
        <x:v>51000</x:v>
      </x:c>
      <x:c r="F12" s="35" t="str"/>
      <x:c r="G12" s="36" t="str"/>
      <x:c r="H12" s="36" t="str"/>
      <x:c r="I12" s="12" t="str"/>
      <x:c r="J12" s="16" t="str"/>
      <x:c r="K12" s="17" t="str"/>
    </x:row>
    <x:row r="13">
      <x:c r="A13" s="31"/>
      <x:c r="B13" s="31"/>
      <x:c r="C13" s="33"/>
      <x:c r="D13" s="37"/>
      <x:c r="E13" s="37"/>
      <x:c r="F13" s="37"/>
      <x:c r="G13" s="37"/>
      <x:c r="H13" s="37"/>
      <x:c r="I13" s="31"/>
      <x:c r="J13" s="31"/>
      <x:c r="K13" s="31"/>
    </x:row>
    <x:row r="14">
      <x:c r="A14" s="30" t="str">
        <x:v>Итого по договору 660/1</x:v>
      </x:c>
      <x:c r="B14" s="29" t="str"/>
      <x:c r="C14" s="34" t="str"/>
      <x:c r="D14" s="38" t="str"/>
      <x:c r="E14" s="22" t="n">
        <x:f>SUM(E2:E4,E6:E8,E10:E12)</x:f>
        <x:v>2420422.73</x:v>
      </x:c>
      <x:c r="F14" s="38" t="str"/>
      <x:c r="G14" s="24" t="n">
        <x:f>SUM(G2,G6,G10)</x:f>
        <x:v>2451593.17</x:v>
      </x:c>
      <x:c r="H14" s="24" t="n">
        <x:f>SUM(H2,H6,H10)</x:f>
        <x:v>204874.97</x:v>
      </x:c>
      <x:c r="I14" s="29" t="str"/>
      <x:c r="J14" s="29" t="str"/>
      <x:c r="K14" s="26" t="n">
        <x:f>E14-G14-H14</x:f>
        <x:v>-236045.40999999995</x:v>
      </x:c>
    </x:row>
  </x:sheetData>
  <x:mergeCells>
    <x:mergeCell ref="A2:A4"/>
    <x:mergeCell ref="G2:G4"/>
    <x:mergeCell ref="H2:H4"/>
    <x:mergeCell ref="J2:J4"/>
    <x:mergeCell ref="K2:K4"/>
    <x:mergeCell ref="A6:A8"/>
    <x:mergeCell ref="G6:G8"/>
    <x:mergeCell ref="H6:H8"/>
    <x:mergeCell ref="J6:J8"/>
    <x:mergeCell ref="K6:K8"/>
    <x:mergeCell ref="A10:A12"/>
    <x:mergeCell ref="G10:G12"/>
    <x:mergeCell ref="H10:H12"/>
    <x:mergeCell ref="J10:J12"/>
    <x:mergeCell ref="K10:K12"/>
  </x:mergeCells>
  <x:conditionalFormatting sqref="K2:K2">
    <x:cfRule type="cellIs" dxfId="0" priority="1" operator="equal">
      <x:formula>0</x:formula>
    </x:cfRule>
    <x:cfRule type="cellIs" dxfId="1" priority="2" operator="notEqual">
      <x:formula>0</x:formula>
    </x:cfRule>
  </x:conditionalFormatting>
  <x:conditionalFormatting sqref="K6:K6">
    <x:cfRule type="cellIs" dxfId="2" priority="3" operator="equal">
      <x:formula>0</x:formula>
    </x:cfRule>
    <x:cfRule type="cellIs" dxfId="3" priority="4" operator="notEqual">
      <x:formula>0</x:formula>
    </x:cfRule>
  </x:conditionalFormatting>
  <x:conditionalFormatting sqref="K10:K10">
    <x:cfRule type="cellIs" dxfId="4" priority="5" operator="equal">
      <x:formula>0</x:formula>
    </x:cfRule>
    <x:cfRule type="cellIs" dxfId="5" priority="6" operator="notEqual">
      <x:formula>0</x:formula>
    </x:cfRule>
  </x:conditionalFormatting>
  <x:conditionalFormatting sqref="K14:K14">
    <x:cfRule type="cellIs" dxfId="6" priority="7" operator="equal">
      <x:formula>0</x:formula>
    </x:cfRule>
    <x:cfRule type="cellIs" dxfId="7" priority="8" operator="notEqual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25.559999465942383" hidden="0" customWidth="1"/>
    <x:col min="3" max="3" width="48.88999938964844" hidden="0" customWidth="1"/>
    <x:col min="4" max="4" width="28.889999389648438" hidden="0" customWidth="1"/>
    <x:col min="5" max="5" width="28.889999389648438" hidden="0" customWidth="1"/>
  </x:cols>
  <x:sheetData>
    <x:row r="1">
      <x:c r="A1" s="6" t="str">
        <x:v>Колонка выгрузки</x:v>
      </x:c>
      <x:c r="B1" s="6" t="str">
        <x:v>Откуда берем в ERP</x:v>
      </x:c>
      <x:c r="C1" s="6" t="str">
        <x:v>Select-шаблон</x:v>
      </x:c>
      <x:c r="D1" s="6" t="str">
        <x:v>Как считаем</x:v>
      </x:c>
      <x:c r="E1" s="6" t="str">
        <x:v>Контроль с 1С</x:v>
      </x:c>
    </x:row>
    <x:row r="2">
      <x:c r="A2" s="10" t="str">
        <x:v>№ спецификации</x:v>
      </x:c>
      <x:c r="B2" s="10" t="str">
        <x:v>veda_specs + veda_dogs + veda_clients/veda_contacts</x:v>
      </x:c>
      <x:c r="C2" s="10" t="str">
        <x:v>SELECT s.f_id, s.f_num, d.f_dogname, legal.f_name AS legal_name, contact.f_name AS client_name
FROM veda_specs s
JOIN veda_dogs d ON d.f_id = s.f_dogid
JOIN veda_clients legal ON legal.f_id = d.f_contrid
LEFT JOIN veda_contacts contact ON contact.f_id = legal.f_contactid
WHERE s.f_id = :spec_id;</x:v>
      </x:c>
      <x:c r="D2" s="10" t="str">
        <x:v>Один блок строк на одну поставку/спецификацию. Клиент = veda_contacts, ЮЛ = veda_clients.</x:v>
      </x:c>
      <x:c r="E2" s="10" t="str">
        <x:v>Договор-заявка в 1С ищется по кодам veda_specs.f_kod1cb/f_kod1cp и номеру спецификации.</x:v>
      </x:c>
    </x:row>
    <x:row r="3">
      <x:c r="A3" s="10" t="str">
        <x:v>Счет</x:v>
      </x:c>
      <x:c r="B3" s="10" t="str">
        <x:v>veda_schets</x:v>
      </x:c>
      <x:c r="C3" s="10" t="str">
        <x:v>SELECT main.f_num AS account_num, main.f_dt, main.f_sum, main.f_val,
       line.f_operid, line.f_num AS line_num
FROM veda_schets line
LEFT JOIN veda_schets main ON main.f_id = line.f_maininv
WHERE line.f_operid IN (SELECT si.f_id FROM veda_spec_invoices si WHERE si.f_specid = :spec_id)
ORDER BY main.f_dt, main.f_num, line.f_num;</x:v>
      </x:c>
      <x:c r="D3" s="10" t="str">
        <x:v>В выгрузке показываем агрегирующий счет покупателю; операции внутри счета суммируются под ним.</x:v>
      </x:c>
      <x:c r="E3" s="10" t="str">
        <x:v>Сверяется с 1С счетом по номеру, дате, сумме и договору-заявке.</x:v>
      </x:c>
    </x:row>
    <x:row r="4">
      <x:c r="A4" s="10" t="str">
        <x:v>Сумма по счету</x:v>
      </x:c>
      <x:c r="B4" s="10" t="str">
        <x:v>veda_schets.f_sum + veda_schets.f_val</x:v>
      </x:c>
      <x:c r="C4" s="10" t="str">
        <x:v>SELECT main.f_num, main.f_sum, main.f_val
FROM veda_schets main
WHERE main.f_id IN (SELECT DISTINCT line.f_maininv FROM veda_schets line WHERE line.f_operid IN (...));</x:v>
      </x:c>
      <x:c r="D4" s="10" t="str">
        <x:v>Сумма исходного счета в валюте счета; USD остается USD, рублевые оплаты считаются отдельно.</x:v>
      </x:c>
      <x:c r="E4" s="10" t="str">
        <x:v>В 1С сверяется сумма документа; рублевое сальдо идет через ERP-расчет оплат/расходов.</x:v>
      </x:c>
    </x:row>
    <x:row r="5">
      <x:c r="A5" s="10" t="str">
        <x:v>Сумма оплаты</x:v>
      </x:c>
      <x:c r="B5" s="10" t="str">
        <x:v>veda_acchist + veda_acchist_docs</x:v>
      </x:c>
      <x:c r="C5" s="10" t="str">
        <x:v>SELECT ah.f_id, ah.f_ppnum, COALESCE(ah.f_dt1c, ah.f_ppdt) AS pay_dt,
       ahd.f_docid AS oper_id, ahd.f_clssum
FROM veda_acchist_docs ahd
JOIN veda_acchist ah ON ah.f_id = ahd.f_acchistid
WHERE ahd.f_doctype = 3
  AND ah.f_type = 0
  AND ahd.f_docid IN (SELECT si.f_id FROM veda_spec_invoices si WHERE si.f_specid = :spec_id);</x:v>
      </x:c>
      <x:c r="D5" s="10" t="str">
        <x:v>По каждому счету суммируем только доли входящих оплат клиента по oper_id операций, входящих в счет.</x:v>
      </x:c>
      <x:c r="E5" s="10" t="str">
        <x:v>Сверяется с 1С поступлением на расчетный счет и расшифровкой платежа.</x:v>
      </x:c>
    </x:row>
    <x:row r="6">
      <x:c r="A6" s="10" t="str">
        <x:v>Возмещаемые расходы</x:v>
      </x:c>
      <x:c r="B6" s="10" t="str">
        <x:v>veda_spec_invoices + routines get_expensessum</x:v>
      </x:c>
      <x:c r="C6" s="10" t="str">
        <x:v>SELECT SUM(get_expensessum(si.f_id)) AS reimbursable_total
FROM veda_spec_invoices si
WHERE si.f_specid = :spec_id
  AND si.f_isvozm = 1
  AND &lt;исключения текущей ERP-логики&gt;;</x:v>
      </x:c>
      <x:c r="D6" s="10" t="str">
        <x:v>Агрегат по спецификации; в форме объединяется по высоте блока счетов.</x:v>
      </x:c>
      <x:c r="E6" s="10" t="str">
        <x:v>Подтверждается актами/поступлениями 1С по возмещаемым операциям.</x:v>
      </x:c>
    </x:row>
    <x:row r="7">
      <x:c r="A7" s="10" t="str">
        <x:v>Невозмещаемые расходы</x:v>
      </x:c>
      <x:c r="B7" s="10" t="str">
        <x:v>veda_spec_invoices + routines get_realizsum/get_profit</x:v>
      </x:c>
      <x:c r="C7" s="10" t="str">
        <x:v>SELECT SUM(CASE
         WHEN si.f_isvozm &lt;&gt; 1
          AND NOT (get_expensessum(si.f_id) &gt; 0 AND get_profit(si.f_id) &lt; 0)
         THEN get_profit(si.f_id)
         ELSE 0 END) AS non_reimbursable_total
FROM veda_spec_invoices si
WHERE si.f_specid = :spec_id;</x:v>
      </x:c>
      <x:c r="D7" s="10" t="str">
        <x:v>Агрегат по спецификации; исключаем расходные техоперации, которые не являются клиентским взаиморасчетом.</x:v>
      </x:c>
      <x:c r="E7" s="10" t="str">
        <x:v>Подтверждается реализацией/актами 1С по агентскому вознаграждению.</x:v>
      </x:c>
    </x:row>
    <x:row r="8">
      <x:c r="A8" s="10" t="str">
        <x:v>№ счф</x:v>
      </x:c>
      <x:c r="B8" s="10" t="str">
        <x:v>veda_akts + veda_akts_details + veda_akts_details_opers</x:v>
      </x:c>
      <x:c r="C8" s="10" t="str">
        <x:v>SELECT a.f_kod1c, COALESCE(a.f_dt1c, a.f_dt) AS akt_dt,
       COALESCE(ado.f_operid, a.f_operid) AS oper_id
FROM veda_akts a
LEFT JOIN veda_akts_details ad ON ad.f_aktid = a.f_id
LEFT JOIN veda_akts_details_opers ado ON ado.f_detailid = ad.f_id
WHERE COALESCE(ado.f_operid, a.f_operid) IN (SELECT si.f_id FROM veda_spec_invoices si WHERE si.f_specid = :spec_id);</x:v>
      </x:c>
      <x:c r="D8" s="10" t="str">
        <x:v>Выводим список связанных актов/УПД/счф, которые участвуют в блоке поставки.</x:v>
      </x:c>
      <x:c r="E8" s="10" t="str">
        <x:v>Документы должны существовать в 1С и совпадать по ключевым полям.</x:v>
      </x:c>
    </x:row>
    <x:row r="9">
      <x:c r="A9" s="10" t="str">
        <x:v>(+/-)</x:v>
      </x:c>
      <x:c r="B9" s="10" t="str">
        <x:v>формула Excel</x:v>
      </x:c>
      <x:c r="C9" s="10" t="str">
        <x:v>SUM(E&lt;начало блока&gt;:E&lt;конец блока&gt;) - G&lt;начало блока&gt; - H&lt;начало блока&gt;</x:v>
      </x:c>
      <x:c r="D9" s="10" t="str">
        <x:v>Ноль означает закрытый блок по выбранной логике сверки; неноль — бухгалтерское сальдо/разрыв.</x:v>
      </x:c>
      <x:c r="E9" s="10" t="str">
        <x:v>Сверяется с расчетным сальдо по поставке в ERP и 1С.</x:v>
      </x:c>
    </x:row>
  </x:sheetData>
  <x:pageMargins left="0.7" right="0.7" top="0.75" bottom="0.75" header="0.3" footer="0.3"/>
</x:worksheet>
</file>