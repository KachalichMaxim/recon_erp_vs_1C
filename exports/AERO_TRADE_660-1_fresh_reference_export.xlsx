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191000f65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ыгрузка" sheetId="1" r:id="R02523cfd9b9e4b14"/>
    <x:sheet xmlns:r="http://schemas.openxmlformats.org/officeDocument/2006/relationships" name="Правила" sheetId="2" r:id="Rc80a790cd5b548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;0.00"/>
    <x:numFmt numFmtId="201" formatCode="#,##0.00&quot;р.&quot;;[Red]-#,##0.00&quot;р.&quot;;0.00&quot;р.&quot;"/>
  </x:numFmts>
  <x:fonts count="3">
    <x:font>
      <x:sz val="11"/>
      <x:name val="Carlito"/>
    </x:font>
    <x:font>
      <x:b/>
      <x:sz val="10"/>
      <x:color rgb="FF1F2933"/>
      <x:name val="Calibri"/>
    </x:font>
    <x:font>
      <x:sz val="10"/>
      <x:color rgb="FF1F2933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D9D7D2"/>
      </x:patternFill>
    </x:fill>
    <x:fill>
      <x:patternFill patternType="solid">
        <x:fgColor rgb="FFF3F1ED"/>
      </x:patternFill>
    </x:fill>
    <x:fill>
      <x:patternFill patternType="solid">
        <x:fgColor rgb="FFFAFAF9"/>
      </x:patternFill>
    </x:fill>
    <x:fill>
      <x:patternFill patternType="solid">
        <x:fgColor rgb="FFEEF6FF"/>
      </x:patternFill>
    </x:fill>
    <x:fill>
      <x:patternFill patternType="solid">
        <x:fgColor rgb="FFEEF8F0"/>
      </x:patternFill>
    </x:fill>
    <x:fill>
      <x:patternFill patternType="solid">
        <x:fgColor rgb="FFFFF5DF"/>
      </x:patternFill>
    </x:fill>
    <x:fill>
      <x:patternFill patternType="solid">
        <x:fgColor rgb="FFF7F4EF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6D3CD"/>
      </x:left>
      <x:right style="thin">
        <x:color rgb="FFD6D3CD"/>
      </x:right>
      <x:top style="thin">
        <x:color rgb="FFD6D3CD"/>
      </x:top>
      <x:bottom style="thin">
        <x:color rgb="FFD6D3C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horizontal="right" vertical="center" wrapText="1"/>
    </x:xf>
    <x:xf numFmtId="201" fontId="2" fillId="6" borderId="1" xfId="0" applyNumberFormat="1" applyFont="1" applyFill="1" applyBorder="1" applyAlignment="1">
      <x:alignment vertical="center" wrapText="1"/>
    </x:xf>
    <x:xf numFmtId="201" fontId="2" fillId="6" borderId="1" xfId="0" applyNumberFormat="1" applyFont="1" applyFill="1" applyBorder="1" applyAlignment="1">
      <x:alignment horizontal="right" vertical="center" wrapText="1"/>
    </x:xf>
    <x:xf numFmtId="201" fontId="2" fillId="7" borderId="1" xfId="0" applyNumberFormat="1" applyFont="1" applyFill="1" applyBorder="1" applyAlignment="1">
      <x:alignment vertical="center" wrapText="1"/>
    </x:xf>
    <x:xf numFmtId="201" fontId="2" fillId="7" borderId="1" xfId="0" applyNumberFormat="1" applyFont="1" applyFill="1" applyBorder="1" applyAlignment="1">
      <x:alignment horizontal="right" vertical="center" wrapText="1"/>
    </x:xf>
    <x:xf numFmtId="201" fontId="2" fillId="9" borderId="1" xfId="0" applyNumberFormat="1" applyFont="1" applyFill="1" applyBorder="1" applyAlignment="1">
      <x:alignment vertical="center" wrapText="1"/>
    </x:xf>
    <x:xf numFmtId="201" fontId="2" fillId="9" borderId="1" xfId="0" applyNumberFormat="1" applyFont="1" applyFill="1" applyBorder="1" applyAlignment="1">
      <x:alignment horizontal="right"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1" fontId="2" fillId="2" borderId="1" xfId="0" applyNumberFormat="1" applyFont="1" applyFill="1" applyBorder="1" applyAlignment="1">
      <x:alignment vertical="center" wrapText="1"/>
    </x:xf>
    <x:xf numFmtId="201" fontId="2" fillId="2" borderId="1" xfId="0" applyNumberFormat="1" applyFont="1" applyFill="1" applyBorder="1" applyAlignment="1">
      <x:alignment horizontal="right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right" vertical="center" wrapText="1"/>
    </x:xf>
    <x:xf numFmtId="0" fontId="2" fillId="7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/>
    </x:xf>
    <x:xf numFmtId="0" fontId="2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c470392d64f0e" /><Relationship Type="http://schemas.openxmlformats.org/officeDocument/2006/relationships/theme" Target="/xl/theme/theme1.xml" Id="R7e0b0f5eebad4046" /><Relationship Type="http://schemas.openxmlformats.org/officeDocument/2006/relationships/sharedStrings" Target="/xl/sharedStrings.xml" Id="Rde93bec049da4d1d" /><Relationship Type="http://schemas.openxmlformats.org/officeDocument/2006/relationships/worksheet" Target="/xl/worksheets/sheet1.xml" Id="R02523cfd9b9e4b14" /><Relationship Type="http://schemas.openxmlformats.org/officeDocument/2006/relationships/worksheet" Target="/xl/worksheets/sheet2.xml" Id="Rc80a790cd5b548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440000534057617" hidden="0" customWidth="1"/>
    <x:col min="2" max="2" width="2" hidden="0" customWidth="1"/>
    <x:col min="3" max="3" width="13.329999923706055" hidden="0" customWidth="1"/>
    <x:col min="4" max="4" width="14.4399995803833" hidden="0" customWidth="1"/>
    <x:col min="5" max="5" width="14.4399995803833" hidden="0" customWidth="1"/>
    <x:col min="6" max="6" width="2" hidden="0" customWidth="1"/>
    <x:col min="7" max="7" width="17.219999313354492" hidden="0" customWidth="1"/>
    <x:col min="8" max="8" width="17.219999313354492" hidden="0" customWidth="1"/>
    <x:col min="9" max="9" width="2" hidden="0" customWidth="1"/>
    <x:col min="10" max="10" width="31.670000076293945" hidden="0" customWidth="1"/>
    <x:col min="11" max="11" width="13.329999923706055" hidden="0" customWidth="1"/>
  </x:cols>
  <x:sheetData>
    <x:row r="1">
      <x:c r="A1" s="6" t="str">
        <x:v>№ спецификации</x:v>
      </x:c>
      <x:c r="B1" s="6" t="str"/>
      <x:c r="C1" s="6" t="str">
        <x:v>Счет</x:v>
      </x:c>
      <x:c r="D1" s="6" t="str">
        <x:v>Сумма по счету</x:v>
      </x:c>
      <x:c r="E1" s="6" t="str">
        <x:v>Сумма оплаты</x:v>
      </x:c>
      <x:c r="F1" s="6" t="str"/>
      <x:c r="G1" s="6" t="str">
        <x:v>Возмещаемые расходы</x:v>
      </x:c>
      <x:c r="H1" s="6" t="str">
        <x:v>Невозмещаемые расходы</x:v>
      </x:c>
      <x:c r="I1" s="6" t="str"/>
      <x:c r="J1" s="6" t="str">
        <x:v>№ счф</x:v>
      </x:c>
      <x:c r="K1" s="6" t="str">
        <x:v>(+/-)</x:v>
      </x:c>
    </x:row>
    <x:row r="2" ht="36" customHeight="1">
      <x:c r="A2" s="18" t="str">
        <x:v>Заявка №1076</x:v>
      </x:c>
      <x:c r="B2" s="12" t="str"/>
      <x:c r="C2" s="31" t="str">
        <x:v>ВА-007688</x:v>
      </x:c>
      <x:c r="D2" s="20" t="n">
        <x:v>21000</x:v>
      </x:c>
      <x:c r="E2" s="22" t="n">
        <x:v>21000</x:v>
      </x:c>
      <x:c r="F2" s="34" t="str"/>
      <x:c r="G2" s="24" t="n">
        <x:v>445565.75</x:v>
      </x:c>
      <x:c r="H2" s="24" t="n">
        <x:v>48725.61</x:v>
      </x:c>
      <x:c r="I2" s="12" t="str"/>
      <x:c r="J2" s="16" t="str">
        <x:v>00БП-003300 12.08.2025</x:v>
      </x:c>
      <x:c r="K2" s="26" t="n">
        <x:f>SUM(E2:E4)-G2-H2</x:f>
        <x:v>-2335.3900000000285</x:v>
      </x:c>
    </x:row>
    <x:row r="3">
      <x:c r="A3" s="11" t="str"/>
      <x:c r="B3" s="12" t="str"/>
      <x:c r="C3" s="31" t="str">
        <x:v>ВА-007689</x:v>
      </x:c>
      <x:c r="D3" s="20" t="n">
        <x:v>5298</x:v>
      </x:c>
      <x:c r="E3" s="22" t="n">
        <x:v>439955.97</x:v>
      </x:c>
      <x:c r="F3" s="34" t="str"/>
      <x:c r="G3" s="35" t="str"/>
      <x:c r="H3" s="35" t="str"/>
      <x:c r="I3" s="12" t="str"/>
      <x:c r="J3" s="16" t="str"/>
      <x:c r="K3" s="17" t="str"/>
    </x:row>
    <x:row r="4">
      <x:c r="A4" s="11" t="str"/>
      <x:c r="B4" s="12" t="str"/>
      <x:c r="C4" s="31" t="str">
        <x:v>ВА-007690</x:v>
      </x:c>
      <x:c r="D4" s="20" t="n">
        <x:v>31000</x:v>
      </x:c>
      <x:c r="E4" s="22" t="n">
        <x:v>31000</x:v>
      </x:c>
      <x:c r="F4" s="34" t="str"/>
      <x:c r="G4" s="35" t="str"/>
      <x:c r="H4" s="35" t="str"/>
      <x:c r="I4" s="12" t="str"/>
      <x:c r="J4" s="16" t="str"/>
      <x:c r="K4" s="17" t="str"/>
    </x:row>
    <x:row r="5" ht="43.5" customHeight="1">
      <x:c r="A5" s="18" t="str">
        <x:v>Заявка №1068</x:v>
      </x:c>
      <x:c r="B5" s="12" t="str"/>
      <x:c r="C5" s="31" t="str">
        <x:v>ВА-007712</x:v>
      </x:c>
      <x:c r="D5" s="20" t="n">
        <x:v>21000</x:v>
      </x:c>
      <x:c r="E5" s="22" t="n">
        <x:v>21000</x:v>
      </x:c>
      <x:c r="F5" s="34" t="str"/>
      <x:c r="G5" s="24" t="n">
        <x:v>416239.47</x:v>
      </x:c>
      <x:c r="H5" s="24" t="n">
        <x:v>36640.04</x:v>
      </x:c>
      <x:c r="I5" s="12" t="str"/>
      <x:c r="J5" s="16" t="str">
        <x:v>00БП-003301 14.08.2025
доп. отчет</x:v>
      </x:c>
      <x:c r="K5" s="26" t="n">
        <x:f>SUM(E5:E8)-G5-H5</x:f>
        <x:v>-10582.58999999999</x:v>
      </x:c>
    </x:row>
    <x:row r="6">
      <x:c r="A6" s="11" t="str"/>
      <x:c r="B6" s="12" t="str"/>
      <x:c r="C6" s="31" t="str">
        <x:v>ВА-007713</x:v>
      </x:c>
      <x:c r="D6" s="20" t="n">
        <x:v>4700</x:v>
      </x:c>
      <x:c r="E6" s="22" t="n">
        <x:v>390296.92</x:v>
      </x:c>
      <x:c r="F6" s="34" t="str"/>
      <x:c r="G6" s="35" t="str"/>
      <x:c r="H6" s="35" t="str"/>
      <x:c r="I6" s="12" t="str"/>
      <x:c r="J6" s="16" t="str"/>
      <x:c r="K6" s="17" t="str"/>
    </x:row>
    <x:row r="7">
      <x:c r="A7" s="11" t="str"/>
      <x:c r="B7" s="12" t="str"/>
      <x:c r="C7" s="31" t="str">
        <x:v>ВА-007714</x:v>
      </x:c>
      <x:c r="D7" s="20" t="n">
        <x:v>31000</x:v>
      </x:c>
      <x:c r="E7" s="22" t="n">
        <x:v>31000</x:v>
      </x:c>
      <x:c r="F7" s="34" t="str"/>
      <x:c r="G7" s="35" t="str"/>
      <x:c r="H7" s="35" t="str"/>
      <x:c r="I7" s="12" t="str"/>
      <x:c r="J7" s="16" t="str"/>
      <x:c r="K7" s="17" t="str"/>
    </x:row>
    <x:row r="8">
      <x:c r="A8" s="11" t="str"/>
      <x:c r="B8" s="12" t="str"/>
      <x:c r="C8" s="31" t="str">
        <x:v>ВА-009459</x:v>
      </x:c>
      <x:c r="D8" s="20" t="n">
        <x:v>17715</x:v>
      </x:c>
      <x:c r="E8" s="22" t="str"/>
      <x:c r="F8" s="34" t="str"/>
      <x:c r="G8" s="35" t="str"/>
      <x:c r="H8" s="35" t="str"/>
      <x:c r="I8" s="12" t="str"/>
      <x:c r="J8" s="16" t="str"/>
      <x:c r="K8" s="17" t="str"/>
    </x:row>
    <x:row r="9" ht="43.5" customHeight="1">
      <x:c r="A9" s="18" t="str">
        <x:v>Заявка №1063</x:v>
      </x:c>
      <x:c r="B9" s="12" t="str"/>
      <x:c r="C9" s="31" t="str">
        <x:v>ВА-007482</x:v>
      </x:c>
      <x:c r="D9" s="20" t="n">
        <x:v>9781.63</x:v>
      </x:c>
      <x:c r="E9" s="22" t="n">
        <x:v>9781.63</x:v>
      </x:c>
      <x:c r="F9" s="34" t="str"/>
      <x:c r="G9" s="24" t="n">
        <x:v>185181.88</x:v>
      </x:c>
      <x:c r="H9" s="24" t="n">
        <x:v>14900.65</x:v>
      </x:c>
      <x:c r="I9" s="12" t="str"/>
      <x:c r="J9" s="16" t="str">
        <x:v>00БП-003266 06.08.2025
доп. отчет от 14.08.2025</x:v>
      </x:c>
      <x:c r="K9" s="26" t="n">
        <x:f>SUM(E9:E11)-G9-H9</x:f>
        <x:v>-25496.96</x:v>
      </x:c>
    </x:row>
    <x:row r="10">
      <x:c r="A10" s="11" t="str"/>
      <x:c r="B10" s="12" t="str"/>
      <x:c r="C10" s="31" t="str">
        <x:v>ВА-007483</x:v>
      </x:c>
      <x:c r="D10" s="20" t="n">
        <x:v>1925</x:v>
      </x:c>
      <x:c r="E10" s="22" t="n">
        <x:v>152521.94</x:v>
      </x:c>
      <x:c r="F10" s="34" t="str"/>
      <x:c r="G10" s="35" t="str"/>
      <x:c r="H10" s="35" t="str"/>
      <x:c r="I10" s="12" t="str"/>
      <x:c r="J10" s="16" t="str"/>
      <x:c r="K10" s="17" t="str"/>
    </x:row>
    <x:row r="11">
      <x:c r="A11" s="11" t="str"/>
      <x:c r="B11" s="12" t="str"/>
      <x:c r="C11" s="31" t="str">
        <x:v>ВА-007484</x:v>
      </x:c>
      <x:c r="D11" s="20" t="n">
        <x:v>12282</x:v>
      </x:c>
      <x:c r="E11" s="22" t="n">
        <x:v>12282</x:v>
      </x:c>
      <x:c r="F11" s="34" t="str"/>
      <x:c r="G11" s="35" t="str"/>
      <x:c r="H11" s="35" t="str"/>
      <x:c r="I11" s="12" t="str"/>
      <x:c r="J11" s="16" t="str"/>
      <x:c r="K11" s="17" t="str"/>
    </x:row>
    <x:row r="12" ht="43.5" customHeight="1">
      <x:c r="A12" s="18" t="str">
        <x:v>Заявка №1064</x:v>
      </x:c>
      <x:c r="B12" s="12" t="str"/>
      <x:c r="C12" s="31" t="str">
        <x:v>ВА-007509</x:v>
      </x:c>
      <x:c r="D12" s="20" t="n">
        <x:v>6574.94</x:v>
      </x:c>
      <x:c r="E12" s="22" t="n">
        <x:v>6574.94</x:v>
      </x:c>
      <x:c r="F12" s="34" t="str"/>
      <x:c r="G12" s="24" t="n">
        <x:v>124577.67</x:v>
      </x:c>
      <x:c r="H12" s="24" t="n">
        <x:v>10027.64</x:v>
      </x:c>
      <x:c r="I12" s="12" t="str"/>
      <x:c r="J12" s="16" t="str">
        <x:v>00БП-003274 06.08.2025
доп. отчет от 14.08.2025</x:v>
      </x:c>
      <x:c r="K12" s="26" t="n">
        <x:f>SUM(E12:E14)-G12-H12</x:f>
        <x:v>-17158.699999999997</x:v>
      </x:c>
    </x:row>
    <x:row r="13">
      <x:c r="A13" s="11" t="str"/>
      <x:c r="B13" s="12" t="str"/>
      <x:c r="C13" s="31" t="str">
        <x:v>ВА-007510</x:v>
      </x:c>
      <x:c r="D13" s="20" t="n">
        <x:v>1295</x:v>
      </x:c>
      <x:c r="E13" s="22" t="n">
        <x:v>102605.67</x:v>
      </x:c>
      <x:c r="F13" s="34" t="str"/>
      <x:c r="G13" s="35" t="str"/>
      <x:c r="H13" s="35" t="str"/>
      <x:c r="I13" s="12" t="str"/>
      <x:c r="J13" s="16" t="str"/>
      <x:c r="K13" s="17" t="str"/>
    </x:row>
    <x:row r="14">
      <x:c r="A14" s="11" t="str"/>
      <x:c r="B14" s="12" t="str"/>
      <x:c r="C14" s="31" t="str">
        <x:v>ВА-007511</x:v>
      </x:c>
      <x:c r="D14" s="20" t="n">
        <x:v>8266</x:v>
      </x:c>
      <x:c r="E14" s="22" t="n">
        <x:v>8266</x:v>
      </x:c>
      <x:c r="F14" s="34" t="str"/>
      <x:c r="G14" s="35" t="str"/>
      <x:c r="H14" s="35" t="str"/>
      <x:c r="I14" s="12" t="str"/>
      <x:c r="J14" s="16" t="str"/>
      <x:c r="K14" s="17" t="str"/>
    </x:row>
    <x:row r="15" ht="43.5" customHeight="1">
      <x:c r="A15" s="18" t="str">
        <x:v>Заявка №1065</x:v>
      </x:c>
      <x:c r="B15" s="12" t="str"/>
      <x:c r="C15" s="31" t="str">
        <x:v>ВА-007505</x:v>
      </x:c>
      <x:c r="D15" s="20" t="n">
        <x:v>9100.85</x:v>
      </x:c>
      <x:c r="E15" s="22" t="n">
        <x:v>9100.85</x:v>
      </x:c>
      <x:c r="F15" s="34" t="str"/>
      <x:c r="G15" s="24" t="n">
        <x:v>158354.45</x:v>
      </x:c>
      <x:c r="H15" s="24" t="n">
        <x:v>12681.23</x:v>
      </x:c>
      <x:c r="I15" s="12" t="str"/>
      <x:c r="J15" s="16" t="str">
        <x:v>00БП-003279 06.08.2025
доп. отчет от 14.08.2025</x:v>
      </x:c>
      <x:c r="K15" s="26" t="n">
        <x:f>SUM(E15:E17)-G15-H15</x:f>
        <x:v>-21699.520000000008</x:v>
      </x:c>
    </x:row>
    <x:row r="16">
      <x:c r="A16" s="11" t="str"/>
      <x:c r="B16" s="12" t="str"/>
      <x:c r="C16" s="31" t="str">
        <x:v>ВА-007506</x:v>
      </x:c>
      <x:c r="D16" s="20" t="n">
        <x:v>1638</x:v>
      </x:c>
      <x:c r="E16" s="22" t="n">
        <x:v>129782.31</x:v>
      </x:c>
      <x:c r="F16" s="34" t="str"/>
      <x:c r="G16" s="35" t="str"/>
      <x:c r="H16" s="35" t="str"/>
      <x:c r="I16" s="12" t="str"/>
      <x:c r="J16" s="16" t="str"/>
      <x:c r="K16" s="17" t="str"/>
    </x:row>
    <x:row r="17">
      <x:c r="A17" s="11" t="str"/>
      <x:c r="B17" s="12" t="str"/>
      <x:c r="C17" s="31" t="str">
        <x:v>ВА-007507</x:v>
      </x:c>
      <x:c r="D17" s="20" t="n">
        <x:v>10453</x:v>
      </x:c>
      <x:c r="E17" s="22" t="n">
        <x:v>10453</x:v>
      </x:c>
      <x:c r="F17" s="34" t="str"/>
      <x:c r="G17" s="35" t="str"/>
      <x:c r="H17" s="35" t="str"/>
      <x:c r="I17" s="12" t="str"/>
      <x:c r="J17" s="16" t="str"/>
      <x:c r="K17" s="17" t="str"/>
    </x:row>
    <x:row r="18" ht="43.5" customHeight="1">
      <x:c r="A18" s="18" t="str">
        <x:v>Заявка №1072</x:v>
      </x:c>
      <x:c r="B18" s="12" t="str"/>
      <x:c r="C18" s="31" t="str">
        <x:v>ВА-007691</x:v>
      </x:c>
      <x:c r="D18" s="20" t="n">
        <x:v>14882</x:v>
      </x:c>
      <x:c r="E18" s="22" t="n">
        <x:v>14882</x:v>
      </x:c>
      <x:c r="F18" s="34" t="str"/>
      <x:c r="G18" s="24" t="n">
        <x:v>287869.95</x:v>
      </x:c>
      <x:c r="H18" s="24" t="n">
        <x:v>26049.03</x:v>
      </x:c>
      <x:c r="I18" s="12" t="str"/>
      <x:c r="J18" s="16" t="str">
        <x:v>00БП-003284 07.08.2025
Доп. отчет от 08.08.2025</x:v>
      </x:c>
      <x:c r="K18" s="26" t="n">
        <x:f>SUM(E18:E20)-G18-H18</x:f>
        <x:v>5274.470000000001</x:v>
      </x:c>
    </x:row>
    <x:row r="19">
      <x:c r="A19" s="11" t="str"/>
      <x:c r="B19" s="12" t="str"/>
      <x:c r="C19" s="31" t="str">
        <x:v>ВА-007692</x:v>
      </x:c>
      <x:c r="D19" s="20" t="n">
        <x:v>3400</x:v>
      </x:c>
      <x:c r="E19" s="22" t="n">
        <x:v>282342.45</x:v>
      </x:c>
      <x:c r="F19" s="34" t="str"/>
      <x:c r="G19" s="35" t="str"/>
      <x:c r="H19" s="35" t="str"/>
      <x:c r="I19" s="12" t="str"/>
      <x:c r="J19" s="16" t="str"/>
      <x:c r="K19" s="17" t="str"/>
    </x:row>
    <x:row r="20">
      <x:c r="A20" s="11" t="str"/>
      <x:c r="B20" s="12" t="str"/>
      <x:c r="C20" s="31" t="str">
        <x:v>ВА-007693</x:v>
      </x:c>
      <x:c r="D20" s="20" t="n">
        <x:v>21969</x:v>
      </x:c>
      <x:c r="E20" s="22" t="n">
        <x:v>21969</x:v>
      </x:c>
      <x:c r="F20" s="34" t="str"/>
      <x:c r="G20" s="35" t="str"/>
      <x:c r="H20" s="35" t="str"/>
      <x:c r="I20" s="12" t="str"/>
      <x:c r="J20" s="16" t="str"/>
      <x:c r="K20" s="17" t="str"/>
    </x:row>
    <x:row r="21" ht="43.5" customHeight="1">
      <x:c r="A21" s="18" t="str">
        <x:v>Заявка №1073</x:v>
      </x:c>
      <x:c r="B21" s="12" t="str"/>
      <x:c r="C21" s="31" t="str">
        <x:v>ВА-007699</x:v>
      </x:c>
      <x:c r="D21" s="20" t="n">
        <x:v>6118</x:v>
      </x:c>
      <x:c r="E21" s="22" t="n">
        <x:v>6118</x:v>
      </x:c>
      <x:c r="F21" s="34" t="str"/>
      <x:c r="G21" s="24" t="n">
        <x:v>118363.63</x:v>
      </x:c>
      <x:c r="H21" s="24" t="n">
        <x:v>10708.61</x:v>
      </x:c>
      <x:c r="I21" s="12" t="str"/>
      <x:c r="J21" s="16" t="str">
        <x:v>00БП-003287 07.08.2025
Доп. отчет от 08.08.2025</x:v>
      </x:c>
      <x:c r="K21" s="26" t="n">
        <x:f>SUM(E21:E23)-G21-H21</x:f>
        <x:v>2169.3300000000017</x:v>
      </x:c>
    </x:row>
    <x:row r="22">
      <x:c r="A22" s="11" t="str"/>
      <x:c r="B22" s="12" t="str"/>
      <x:c r="C22" s="31" t="str">
        <x:v>ВА-007700</x:v>
      </x:c>
      <x:c r="D22" s="20" t="n">
        <x:v>1398</x:v>
      </x:c>
      <x:c r="E22" s="22" t="n">
        <x:v>116092.57</x:v>
      </x:c>
      <x:c r="F22" s="34" t="str"/>
      <x:c r="G22" s="35" t="str"/>
      <x:c r="H22" s="35" t="str"/>
      <x:c r="I22" s="12" t="str"/>
      <x:c r="J22" s="16" t="str"/>
      <x:c r="K22" s="17" t="str"/>
    </x:row>
    <x:row r="23">
      <x:c r="A23" s="11" t="str"/>
      <x:c r="B23" s="12" t="str"/>
      <x:c r="C23" s="31" t="str">
        <x:v>ВА-007701</x:v>
      </x:c>
      <x:c r="D23" s="20" t="n">
        <x:v>9031</x:v>
      </x:c>
      <x:c r="E23" s="22" t="n">
        <x:v>9031</x:v>
      </x:c>
      <x:c r="F23" s="34" t="str"/>
      <x:c r="G23" s="35" t="str"/>
      <x:c r="H23" s="35" t="str"/>
      <x:c r="I23" s="12" t="str"/>
      <x:c r="J23" s="16" t="str"/>
      <x:c r="K23" s="17" t="str"/>
    </x:row>
    <x:row r="24" ht="36" customHeight="1">
      <x:c r="A24" s="18" t="str">
        <x:v>Заявка №1074</x:v>
      </x:c>
      <x:c r="B24" s="12" t="str"/>
      <x:c r="C24" s="31" t="str">
        <x:v>ВА-007696</x:v>
      </x:c>
      <x:c r="D24" s="20" t="n">
        <x:v>21000</x:v>
      </x:c>
      <x:c r="E24" s="22" t="n">
        <x:v>21000</x:v>
      </x:c>
      <x:c r="F24" s="34" t="str"/>
      <x:c r="G24" s="24" t="n">
        <x:v>416239.47</x:v>
      </x:c>
      <x:c r="H24" s="24" t="n">
        <x:v>36640.04</x:v>
      </x:c>
      <x:c r="I24" s="12" t="str"/>
      <x:c r="J24" s="16" t="str">
        <x:v>упд 3286 от 05.08.2025</x:v>
      </x:c>
      <x:c r="K24" s="26" t="n">
        <x:f>SUM(E24:E26)-G24-H24</x:f>
        <x:v>-10582.58999999999</x:v>
      </x:c>
    </x:row>
    <x:row r="25">
      <x:c r="A25" s="11" t="str"/>
      <x:c r="B25" s="12" t="str"/>
      <x:c r="C25" s="31" t="str">
        <x:v>ВА-007697</x:v>
      </x:c>
      <x:c r="D25" s="20" t="n">
        <x:v>4700</x:v>
      </x:c>
      <x:c r="E25" s="22" t="n">
        <x:v>390296.92</x:v>
      </x:c>
      <x:c r="F25" s="34" t="str"/>
      <x:c r="G25" s="35" t="str"/>
      <x:c r="H25" s="35" t="str"/>
      <x:c r="I25" s="12" t="str"/>
      <x:c r="J25" s="16" t="str"/>
      <x:c r="K25" s="17" t="str"/>
    </x:row>
    <x:row r="26">
      <x:c r="A26" s="11" t="str"/>
      <x:c r="B26" s="12" t="str"/>
      <x:c r="C26" s="31" t="str">
        <x:v>ВА-007698</x:v>
      </x:c>
      <x:c r="D26" s="20" t="n">
        <x:v>31000</x:v>
      </x:c>
      <x:c r="E26" s="22" t="n">
        <x:v>31000</x:v>
      </x:c>
      <x:c r="F26" s="34" t="str"/>
      <x:c r="G26" s="35" t="str"/>
      <x:c r="H26" s="35" t="str"/>
      <x:c r="I26" s="12" t="str"/>
      <x:c r="J26" s="16" t="str"/>
      <x:c r="K26" s="17" t="str"/>
    </x:row>
    <x:row r="27">
      <x:c r="C27" s="32"/>
      <x:c r="D27" s="36"/>
      <x:c r="E27" s="36"/>
      <x:c r="F27" s="36"/>
      <x:c r="G27" s="36"/>
      <x:c r="H27" s="36"/>
    </x:row>
    <x:row r="28">
      <x:c r="A28" s="30" t="str">
        <x:v>Итого по фрагменту 10401-10450</x:v>
      </x:c>
      <x:c r="B28" s="27" t="str"/>
      <x:c r="C28" s="33" t="str"/>
      <x:c r="D28" s="37" t="str"/>
      <x:c r="E28" s="29" t="n">
        <x:f>SUM(E2:E4,E5:E8,E9:E11,E12:E14,E15:E17,E18:E20,E21:E23,E24:E26)</x:f>
        <x:v>2268353.17</x:v>
      </x:c>
      <x:c r="F28" s="37" t="str"/>
      <x:c r="G28" s="29" t="n">
        <x:f>SUM(G2,G5,G9,G12,G15,G18,G21,G24)</x:f>
        <x:v>2152392.2699999996</x:v>
      </x:c>
      <x:c r="H28" s="29" t="n">
        <x:f>SUM(H2,H5,H9,H12,H15,H18,H21,H24)</x:f>
        <x:v>196372.85</x:v>
      </x:c>
      <x:c r="I28" s="27" t="str"/>
      <x:c r="J28" s="27" t="str"/>
      <x:c r="K28" s="29" t="n">
        <x:f>E28-G28-H28</x:f>
        <x:v>-80411.94999999963</x:v>
      </x:c>
    </x:row>
  </x:sheetData>
  <x:mergeCells>
    <x:mergeCell ref="A2:A4"/>
    <x:mergeCell ref="G2:G4"/>
    <x:mergeCell ref="H2:H4"/>
    <x:mergeCell ref="J2:J4"/>
    <x:mergeCell ref="K2:K4"/>
    <x:mergeCell ref="A5:A8"/>
    <x:mergeCell ref="G5:G8"/>
    <x:mergeCell ref="H5:H8"/>
    <x:mergeCell ref="J5:J8"/>
    <x:mergeCell ref="K5:K8"/>
    <x:mergeCell ref="A9:A11"/>
    <x:mergeCell ref="G9:G11"/>
    <x:mergeCell ref="H9:H11"/>
    <x:mergeCell ref="J9:J11"/>
    <x:mergeCell ref="K9:K11"/>
    <x:mergeCell ref="A12:A14"/>
    <x:mergeCell ref="G12:G14"/>
    <x:mergeCell ref="H12:H14"/>
    <x:mergeCell ref="J12:J14"/>
    <x:mergeCell ref="K12:K14"/>
    <x:mergeCell ref="A15:A17"/>
    <x:mergeCell ref="G15:G17"/>
    <x:mergeCell ref="H15:H17"/>
    <x:mergeCell ref="J15:J17"/>
    <x:mergeCell ref="K15:K17"/>
    <x:mergeCell ref="A18:A20"/>
    <x:mergeCell ref="G18:G20"/>
    <x:mergeCell ref="H18:H20"/>
    <x:mergeCell ref="J18:J20"/>
    <x:mergeCell ref="K18:K20"/>
    <x:mergeCell ref="A21:A23"/>
    <x:mergeCell ref="G21:G23"/>
    <x:mergeCell ref="H21:H23"/>
    <x:mergeCell ref="J21:J23"/>
    <x:mergeCell ref="K21:K23"/>
    <x:mergeCell ref="A24:A26"/>
    <x:mergeCell ref="G24:G26"/>
    <x:mergeCell ref="H24:H26"/>
    <x:mergeCell ref="J24:J26"/>
    <x:mergeCell ref="K24:K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7.780000686645508" hidden="0" customWidth="1"/>
    <x:col min="3" max="3" width="42.220001220703125" hidden="0" customWidth="1"/>
    <x:col min="4" max="4" width="31.670000076293945" hidden="0" customWidth="1"/>
    <x:col min="5" max="5" width="31.670000076293945" hidden="0" customWidth="1"/>
  </x:cols>
  <x:sheetData>
    <x:row r="1">
      <x:c r="A1" s="6" t="str">
        <x:v>Колонка</x:v>
      </x:c>
      <x:c r="B1" s="6" t="str">
        <x:v>ERP-источник</x:v>
      </x:c>
      <x:c r="C1" s="6" t="str">
        <x:v>SQL/связь</x:v>
      </x:c>
      <x:c r="D1" s="6" t="str">
        <x:v>Правило</x:v>
      </x:c>
      <x:c r="E1" s="6" t="str">
        <x:v>Проверка на свежем фрагменте</x:v>
      </x:c>
    </x:row>
    <x:row r="2">
      <x:c r="A2" s="10" t="str">
        <x:v>Иерархия</x:v>
      </x:c>
      <x:c r="B2" s="10" t="str">
        <x:v>veda_contacts -&gt; veda_clients -&gt; veda_dogs -&gt; veda_specs</x:v>
      </x:c>
      <x:c r="C2" s="10" t="str">
        <x:v>veda_contacts.f_id = veda_clients.f_contactid; veda_clients.f_id = veda_dogs.f_contrid; veda_dogs.f_id = veda_specs.f_dogid</x:v>
      </x:c>
      <x:c r="D2" s="10" t="str">
        <x:v>Договор 660/1: contact_id=115, legal_id=221, dog_id=88. Фильтра по году нет.</x:v>
      </x:c>
      <x:c r="E2" s="10" t="str">
        <x:v>8 поставок в контрольном фрагменте.</x:v>
      </x:c>
    </x:row>
    <x:row r="3">
      <x:c r="A3" s="10" t="str">
        <x:v>Счет / сумма по счету</x:v>
      </x:c>
      <x:c r="B3" s="10" t="str">
        <x:v>veda_schets</x:v>
      </x:c>
      <x:c r="C3" s="10" t="str">
        <x:v>Основной счет покупателю: main = IF(child.f_maininv&gt;0, child.f_maininv, child.f_id), main.f_type=1, child.f_operid IN operations.</x:v>
      </x:c>
      <x:c r="D3" s="10" t="str">
        <x:v>Показываем счета покупателю построчно. Счета поставщиков f_type=2 не выводятся в клиентскую колонку.</x:v>
      </x:c>
      <x:c r="E3" s="10" t="str">
        <x:v>25 счетов покупателю подтверждены MariaDB.</x:v>
      </x:c>
    </x:row>
    <x:row r="4">
      <x:c r="A4" s="10" t="str">
        <x:v>Сумма оплаты</x:v>
      </x:c>
      <x:c r="B4" s="10" t="str">
        <x:v>veda_acchist_docs + veda_acchist</x:v>
      </x:c>
      <x:c r="C4" s="10" t="str">
        <x:v>ahd.f_doctype=3 AND ahd.f_docid=operation_id; сумма = SUM(ahd.f_clssum); ah.f_type=0.</x:v>
      </x:c>
      <x:c r="D4" s="10" t="str">
        <x:v>Используется распределенная сумма по операции, не полная сумма банковского документа.</x:v>
      </x:c>
      <x:c r="E4" s="10" t="str">
        <x:v>Платежи 10401-10450 сходятся с референсом по f_clssum.</x:v>
      </x:c>
    </x:row>
    <x:row r="5">
      <x:c r="A5" s="10" t="str">
        <x:v>Возмещаемые расходы</x:v>
      </x:c>
      <x:c r="B5" s="10" t="str">
        <x:v>veda_akts + veda_akts_details_opers</x:v>
      </x:c>
      <x:c r="C5" s="10" t="str">
        <x:v>Прямые акты veda_akts.f_operid и распределения veda_akts_details_opers.f_sum по операциям с f_isvozm=1.</x:v>
      </x:c>
      <x:c r="D5" s="10" t="str">
        <x:v>В матрице показываем итог клиентского блока. Доп. отчеты являются отдельными актами/распределениями ERP, а не внешними письмами.</x:v>
      </x:c>
      <x:c r="E5" s="10" t="str">
        <x:v>Для 1063: прямые/распределенные ERP-строки дают 185181.88; дельта сходится.</x:v>
      </x:c>
    </x:row>
    <x:row r="6">
      <x:c r="A6" s="10" t="str">
        <x:v>Невозмещаемые расходы</x:v>
      </x:c>
      <x:c r="B6" s="10" t="str">
        <x:v>veda_akts</x:v>
      </x:c>
      <x:c r="C6" s="10" t="str">
        <x:v>Прямые клиентские акты veda_akts.f_operid по операциям с f_isvozm=2.</x:v>
      </x:c>
      <x:c r="D6" s="10" t="str">
        <x:v>Подрядные распределенные строки veda_akts_details_opers с f_isvozm=2 не включаются в клиентскую колонку.</x:v>
      </x:c>
      <x:c r="E6" s="10" t="str">
        <x:v>Для 1063: 14900.65 включено; 1980.91 по подрядчику ТЭО Русмарин исключено и логируется.</x:v>
      </x:c>
    </x:row>
    <x:row r="7">
      <x:c r="A7" s="10" t="str">
        <x:v>Исключенные подрядные расходы</x:v>
      </x:c>
      <x:c r="B7" s="10" t="str">
        <x:v>veda_akts_details_opers</x:v>
      </x:c>
      <x:c r="C7" s="10" t="str">
        <x:v>ado.f_operid -&gt; veda_spec_invoices.f_id, где f_isvozm=2 и сумма пришла из распределенной строки акта подрядчика.</x:v>
      </x:c>
      <x:c r="D7" s="10" t="str">
        <x:v>Не участвуют в (+/-) клиента, но сохраняются для анализа расхождений и частоты проблем.</x:v>
      </x:c>
      <x:c r="E7" s="10" t="str">
        <x:v>1063/1064/1065: исключены 1980.91 / 1333.16 / 1685.93.</x:v>
      </x:c>
    </x:row>
    <x:row r="8">
      <x:c r="A8" s="10" t="str">
        <x:v>№ счф</x:v>
      </x:c>
      <x:c r="B8" s="10" t="str">
        <x:v>Референс + veda_akts/1C</x:v>
      </x:c>
      <x:c r="C8" s="10" t="str">
        <x:v>В промышленной версии требуется связать с veda_akts/1C и вывести все документы через перенос строки.</x:v>
      </x:c>
      <x:c r="D8" s="10" t="str">
        <x:v>Основной УПД/акт и доп. отчет выводятся полностью внутри объединенной ячейки.</x:v>
      </x:c>
      <x:c r="E8" s="10" t="str">
        <x:v>В 1063-1065 видны 00БП-003266/003274/003279 и доп. отчет от 14.08.2025.</x:v>
      </x:c>
    </x:row>
    <x:row r="9">
      <x:c r="A9" s="10" t="str">
        <x:v>(+/-)</x:v>
      </x:c>
      <x:c r="B9" s="10" t="str">
        <x:v>серверная формула</x:v>
      </x:c>
      <x:c r="C9" s="10" t="str">
        <x:v>SUM(Сумма оплаты по строкам блока) - Возмещаемые расходы - Невозмещаемые расходы.</x:v>
      </x:c>
      <x:c r="D9" s="10" t="str">
        <x:v>Значение считается по ERP-логике. Доп. отчеты должны входить в расходы.</x:v>
      </x:c>
      <x:c r="E9" s="10" t="str">
        <x:v>После учета доп. отчетов delta_check_diff=0 для всех 8 блоков.</x:v>
      </x:c>
    </x:row>
  </x:sheetData>
  <x:pageMargins left="0.7" right="0.7" top="0.75" bottom="0.75" header="0.3" footer="0.3"/>
</x:worksheet>
</file>